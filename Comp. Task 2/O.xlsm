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glebvorobcuk/Desktop/ACNM 2018/Term 2/Data Mining/Comp. Task 2/"/>
    </mc:Choice>
  </mc:AlternateContent>
  <bookViews>
    <workbookView xWindow="0" yWindow="0" windowWidth="28800" windowHeight="18000" tabRatio="500" firstSheet="1" activeTab="1"/>
  </bookViews>
  <sheets>
    <sheet name="O" sheetId="1" state="hidden" r:id="rId1"/>
    <sheet name="Sheet1" sheetId="2" r:id="rId2"/>
    <sheet name="Sheet2" sheetId="3" r:id="rId3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0" i="3" l="1"/>
  <c r="G5" i="3"/>
  <c r="G19" i="3"/>
  <c r="G16" i="3"/>
  <c r="G11" i="3"/>
  <c r="G13" i="3"/>
  <c r="G9" i="3"/>
  <c r="G15" i="3"/>
  <c r="H2" i="3"/>
  <c r="I2" i="3"/>
  <c r="I12" i="2"/>
  <c r="I13" i="2"/>
  <c r="I10" i="2"/>
  <c r="I3" i="2"/>
</calcChain>
</file>

<file path=xl/sharedStrings.xml><?xml version="1.0" encoding="utf-8"?>
<sst xmlns="http://schemas.openxmlformats.org/spreadsheetml/2006/main" count="347" uniqueCount="59">
  <si>
    <t>Number</t>
  </si>
  <si>
    <t>Year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</si>
  <si>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</si>
  <si>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</si>
  <si>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</si>
  <si>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</si>
  <si>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</si>
  <si>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</si>
  <si>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</si>
  <si>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</si>
  <si>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</si>
  <si>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</si>
  <si>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</si>
  <si>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</si>
  <si>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o-1</t>
  </si>
  <si>
    <t>y</t>
  </si>
  <si>
    <t>n</t>
  </si>
  <si>
    <t>o-2</t>
  </si>
  <si>
    <t>o-3</t>
  </si>
  <si>
    <t>o-4</t>
  </si>
  <si>
    <t>o-5</t>
  </si>
  <si>
    <t>o-6</t>
  </si>
  <si>
    <t>o-7</t>
  </si>
  <si>
    <t>o-8</t>
  </si>
  <si>
    <t>o-9</t>
  </si>
  <si>
    <t>o-10</t>
  </si>
  <si>
    <t>o-11</t>
  </si>
  <si>
    <t>o-12</t>
  </si>
  <si>
    <t>o-13</t>
  </si>
  <si>
    <t>A</t>
  </si>
  <si>
    <t>B</t>
  </si>
  <si>
    <t>C</t>
  </si>
  <si>
    <t>D</t>
  </si>
  <si>
    <t>E</t>
  </si>
  <si>
    <t>_A</t>
  </si>
  <si>
    <t>_B</t>
  </si>
  <si>
    <t>_C</t>
  </si>
  <si>
    <t>_D</t>
  </si>
  <si>
    <t>_E</t>
  </si>
  <si>
    <t>FGDE</t>
  </si>
  <si>
    <t>FGD_E</t>
  </si>
  <si>
    <t>FG_DE</t>
  </si>
  <si>
    <t>FG_D_E</t>
  </si>
  <si>
    <t>P(G|D&amp;E)P(F|C&amp;D)P(E|_B)P(C|A)P(D|A&amp;_B)P(A)P(_B)</t>
  </si>
  <si>
    <t>P(G|D&amp;_E)P(F|C&amp;D)P(_E|B)P(C|A)P(D|A&amp;B)P(A)P(B)</t>
  </si>
  <si>
    <t>P(B&amp;G)</t>
  </si>
  <si>
    <t>P(G)</t>
  </si>
  <si>
    <t>P(G|D&amp;_E)P(F|C&amp;D)P(_E|_B)P(C|A)P(D|A&amp;_B)P(A)P(_B)</t>
  </si>
  <si>
    <t>GB</t>
  </si>
  <si>
    <t>G_B</t>
  </si>
  <si>
    <t>P(G|D&amp;_E)P(_E|_B)P(D|A&amp;_B)P(A)P(_B)</t>
  </si>
  <si>
    <t>P(G|D&amp;E)P(E|_B)P(D|_A&amp;_B)P(_A)P(_B)</t>
  </si>
  <si>
    <t>P(G|D&amp;_E)P(_E|B)P(D|_A&amp;B)P(_A)P(B)</t>
  </si>
  <si>
    <t>P(_B&amp;G)</t>
  </si>
  <si>
    <t>P(G|D&amp;_E)P(_E|_B)P(D|_A&amp;_B)P(_A)P(_B)</t>
  </si>
  <si>
    <t>P(B|G)</t>
  </si>
  <si>
    <t>P(G|D&amp;E)P(E|_B)P(D|A&amp;_B)P(A)P(_B)</t>
  </si>
  <si>
    <t>P(G|D&amp;_E)P(_E|B)P(D|A&amp;B)P(A)P(B)</t>
  </si>
  <si>
    <t>P(F&amp;G)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</si>
</sst>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/>
    <xf numFmtId="0" fontId="0" fillId="0" borderId="0" xfId="0" applyFill="1"/>
    <xf numFmtId="0" fontId="3" fillId="2" borderId="0" xfId="0" applyFont="1" applyFill="1"/>
    <xf numFmtId="0" fontId="0" fillId="0" borderId="0" xfId="0" applyAlignment="1">
      <alignment horizontal="right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workbookViewId="0"/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1860</v>
      </c>
      <c r="C2" t="s">
        <v>15</v>
      </c>
      <c r="D2" t="s">
        <v>16</v>
      </c>
      <c r="E2" t="s">
        <v>15</v>
      </c>
      <c r="F2" t="s">
        <v>15</v>
      </c>
      <c r="G2" t="s">
        <v>16</v>
      </c>
      <c r="H2" t="s">
        <v>16</v>
      </c>
      <c r="I2" t="s">
        <v>15</v>
      </c>
      <c r="J2" t="s">
        <v>16</v>
      </c>
      <c r="K2" t="s">
        <v>15</v>
      </c>
      <c r="L2" t="s">
        <v>16</v>
      </c>
      <c r="M2" t="s">
        <v>16</v>
      </c>
      <c r="N2" t="s">
        <v>16</v>
      </c>
    </row>
    <row r="3" spans="1:14" x14ac:dyDescent="0.2">
      <c r="A3" t="s">
        <v>17</v>
      </c>
      <c r="B3">
        <v>1876</v>
      </c>
      <c r="C3" t="s">
        <v>15</v>
      </c>
      <c r="D3" t="s">
        <v>15</v>
      </c>
      <c r="E3" t="s">
        <v>16</v>
      </c>
      <c r="F3" t="s">
        <v>15</v>
      </c>
      <c r="G3" t="s">
        <v>16</v>
      </c>
      <c r="H3" t="s">
        <v>15</v>
      </c>
      <c r="I3" t="s">
        <v>16</v>
      </c>
      <c r="J3" t="s">
        <v>16</v>
      </c>
      <c r="K3" t="s">
        <v>16</v>
      </c>
      <c r="L3" t="s">
        <v>15</v>
      </c>
      <c r="M3" t="s">
        <v>16</v>
      </c>
      <c r="N3" t="s">
        <v>16</v>
      </c>
    </row>
    <row r="4" spans="1:14" x14ac:dyDescent="0.2">
      <c r="A4" t="s">
        <v>18</v>
      </c>
      <c r="B4">
        <v>1884</v>
      </c>
      <c r="C4" t="s">
        <v>15</v>
      </c>
      <c r="D4" t="s">
        <v>16</v>
      </c>
      <c r="E4" t="s">
        <v>16</v>
      </c>
      <c r="F4" t="s">
        <v>15</v>
      </c>
      <c r="G4" t="s">
        <v>16</v>
      </c>
      <c r="H4" t="s">
        <v>16</v>
      </c>
      <c r="I4" t="s">
        <v>15</v>
      </c>
      <c r="J4" t="s">
        <v>16</v>
      </c>
      <c r="K4" t="s">
        <v>15</v>
      </c>
      <c r="L4" t="s">
        <v>16</v>
      </c>
      <c r="M4" t="s">
        <v>15</v>
      </c>
      <c r="N4" t="s">
        <v>16</v>
      </c>
    </row>
    <row r="5" spans="1:14" x14ac:dyDescent="0.2">
      <c r="A5" t="s">
        <v>19</v>
      </c>
      <c r="B5">
        <v>1892</v>
      </c>
      <c r="C5" t="s">
        <v>16</v>
      </c>
      <c r="D5" t="s">
        <v>16</v>
      </c>
      <c r="E5" t="s">
        <v>15</v>
      </c>
      <c r="F5" t="s">
        <v>16</v>
      </c>
      <c r="G5" t="s">
        <v>15</v>
      </c>
      <c r="H5" t="s">
        <v>16</v>
      </c>
      <c r="I5" t="s">
        <v>16</v>
      </c>
      <c r="J5" t="s">
        <v>15</v>
      </c>
      <c r="K5" t="s">
        <v>15</v>
      </c>
      <c r="L5" t="s">
        <v>16</v>
      </c>
      <c r="M5" t="s">
        <v>16</v>
      </c>
      <c r="N5" t="s">
        <v>15</v>
      </c>
    </row>
    <row r="6" spans="1:14" x14ac:dyDescent="0.2">
      <c r="A6" t="s">
        <v>20</v>
      </c>
      <c r="B6">
        <v>1896</v>
      </c>
      <c r="C6" t="s">
        <v>16</v>
      </c>
      <c r="D6" t="s">
        <v>16</v>
      </c>
      <c r="E6" t="s">
        <v>16</v>
      </c>
      <c r="F6" t="s">
        <v>15</v>
      </c>
      <c r="G6" t="s">
        <v>16</v>
      </c>
      <c r="H6" t="s">
        <v>15</v>
      </c>
      <c r="I6" t="s">
        <v>16</v>
      </c>
      <c r="J6" t="s">
        <v>15</v>
      </c>
      <c r="K6" t="s">
        <v>15</v>
      </c>
      <c r="L6" t="s">
        <v>16</v>
      </c>
      <c r="M6" t="s">
        <v>15</v>
      </c>
      <c r="N6" t="s">
        <v>16</v>
      </c>
    </row>
    <row r="7" spans="1:14" x14ac:dyDescent="0.2">
      <c r="A7" t="s">
        <v>21</v>
      </c>
      <c r="B7">
        <v>1912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16</v>
      </c>
      <c r="I7" t="s">
        <v>15</v>
      </c>
      <c r="J7" t="s">
        <v>16</v>
      </c>
      <c r="K7" t="s">
        <v>16</v>
      </c>
      <c r="L7" t="s">
        <v>16</v>
      </c>
      <c r="M7" t="s">
        <v>16</v>
      </c>
      <c r="N7" t="s">
        <v>16</v>
      </c>
    </row>
    <row r="8" spans="1:14" x14ac:dyDescent="0.2">
      <c r="A8" t="s">
        <v>22</v>
      </c>
      <c r="B8">
        <v>1920</v>
      </c>
      <c r="C8" t="s">
        <v>15</v>
      </c>
      <c r="D8" t="s">
        <v>16</v>
      </c>
      <c r="E8" t="s">
        <v>16</v>
      </c>
      <c r="F8" t="s">
        <v>15</v>
      </c>
      <c r="G8" t="s">
        <v>16</v>
      </c>
      <c r="H8" t="s">
        <v>16</v>
      </c>
      <c r="I8" t="s">
        <v>16</v>
      </c>
      <c r="J8" t="s">
        <v>15</v>
      </c>
      <c r="K8" t="s">
        <v>15</v>
      </c>
      <c r="L8" t="s">
        <v>16</v>
      </c>
      <c r="M8" t="s">
        <v>16</v>
      </c>
      <c r="N8" t="s">
        <v>16</v>
      </c>
    </row>
    <row r="9" spans="1:14" x14ac:dyDescent="0.2">
      <c r="A9" t="s">
        <v>23</v>
      </c>
      <c r="B9">
        <v>1932</v>
      </c>
      <c r="C9" t="s">
        <v>15</v>
      </c>
      <c r="D9" t="s">
        <v>15</v>
      </c>
      <c r="E9" t="s">
        <v>16</v>
      </c>
      <c r="F9" t="s">
        <v>16</v>
      </c>
      <c r="G9" t="s">
        <v>15</v>
      </c>
      <c r="H9" t="s">
        <v>15</v>
      </c>
      <c r="I9" t="s">
        <v>16</v>
      </c>
      <c r="J9" t="s">
        <v>16</v>
      </c>
      <c r="K9" t="s">
        <v>15</v>
      </c>
      <c r="L9" t="s">
        <v>16</v>
      </c>
      <c r="M9" t="s">
        <v>16</v>
      </c>
      <c r="N9" t="s">
        <v>15</v>
      </c>
    </row>
    <row r="10" spans="1:14" x14ac:dyDescent="0.2">
      <c r="A10" t="s">
        <v>24</v>
      </c>
      <c r="B10">
        <v>1952</v>
      </c>
      <c r="C10" t="s">
        <v>15</v>
      </c>
      <c r="D10" t="s">
        <v>16</v>
      </c>
      <c r="E10" t="s">
        <v>16</v>
      </c>
      <c r="F10" t="s">
        <v>15</v>
      </c>
      <c r="G10" t="s">
        <v>16</v>
      </c>
      <c r="H10" t="s">
        <v>16</v>
      </c>
      <c r="I10" t="s">
        <v>15</v>
      </c>
      <c r="J10" t="s">
        <v>16</v>
      </c>
      <c r="K10" t="s">
        <v>16</v>
      </c>
      <c r="L10" t="s">
        <v>15</v>
      </c>
      <c r="M10" t="s">
        <v>16</v>
      </c>
      <c r="N10" t="s">
        <v>15</v>
      </c>
    </row>
    <row r="11" spans="1:14" x14ac:dyDescent="0.2">
      <c r="A11" t="s">
        <v>25</v>
      </c>
      <c r="B11">
        <v>1960</v>
      </c>
      <c r="C11" t="s">
        <v>15</v>
      </c>
      <c r="D11" t="s">
        <v>15</v>
      </c>
      <c r="E11" t="s">
        <v>16</v>
      </c>
      <c r="F11" t="s">
        <v>16</v>
      </c>
      <c r="G11" t="s">
        <v>16</v>
      </c>
      <c r="H11" t="s">
        <v>15</v>
      </c>
      <c r="I11" t="s">
        <v>16</v>
      </c>
      <c r="J11" t="s">
        <v>16</v>
      </c>
      <c r="K11" t="s">
        <v>16</v>
      </c>
      <c r="L11" t="s">
        <v>16</v>
      </c>
      <c r="M11" t="s">
        <v>16</v>
      </c>
      <c r="N11" t="s">
        <v>15</v>
      </c>
    </row>
    <row r="12" spans="1:14" x14ac:dyDescent="0.2">
      <c r="A12" t="s">
        <v>26</v>
      </c>
      <c r="B12">
        <v>1968</v>
      </c>
      <c r="C12" t="s">
        <v>15</v>
      </c>
      <c r="D12" t="s">
        <v>15</v>
      </c>
      <c r="E12" t="s">
        <v>15</v>
      </c>
      <c r="F12" t="s">
        <v>15</v>
      </c>
      <c r="G12" t="s">
        <v>16</v>
      </c>
      <c r="H12" t="s">
        <v>16</v>
      </c>
      <c r="I12" t="s">
        <v>15</v>
      </c>
      <c r="J12" t="s">
        <v>15</v>
      </c>
      <c r="K12" t="s">
        <v>15</v>
      </c>
      <c r="L12" t="s">
        <v>16</v>
      </c>
      <c r="M12" t="s">
        <v>16</v>
      </c>
      <c r="N12" t="s">
        <v>16</v>
      </c>
    </row>
    <row r="13" spans="1:14" x14ac:dyDescent="0.2">
      <c r="A13" t="s">
        <v>27</v>
      </c>
      <c r="B13">
        <v>1976</v>
      </c>
      <c r="C13" t="s">
        <v>15</v>
      </c>
      <c r="D13" t="s">
        <v>15</v>
      </c>
      <c r="E13" t="s">
        <v>16</v>
      </c>
      <c r="F13" t="s">
        <v>15</v>
      </c>
      <c r="G13" t="s">
        <v>15</v>
      </c>
      <c r="H13" t="s">
        <v>16</v>
      </c>
      <c r="I13" t="s">
        <v>16</v>
      </c>
      <c r="J13" t="s">
        <v>16</v>
      </c>
      <c r="K13" t="s">
        <v>16</v>
      </c>
      <c r="L13" t="s">
        <v>15</v>
      </c>
      <c r="M13" t="s">
        <v>16</v>
      </c>
      <c r="N13" t="s">
        <v>16</v>
      </c>
    </row>
    <row r="14" spans="1:14" x14ac:dyDescent="0.2">
      <c r="A14" t="s">
        <v>28</v>
      </c>
      <c r="B14">
        <v>1980</v>
      </c>
      <c r="C14" t="s">
        <v>16</v>
      </c>
      <c r="D14" t="s">
        <v>16</v>
      </c>
      <c r="E14" t="s">
        <v>15</v>
      </c>
      <c r="F14" t="s">
        <v>15</v>
      </c>
      <c r="G14" t="s">
        <v>15</v>
      </c>
      <c r="H14" t="s">
        <v>15</v>
      </c>
      <c r="I14" t="s">
        <v>16</v>
      </c>
      <c r="J14" t="s">
        <v>16</v>
      </c>
      <c r="K14" t="s">
        <v>16</v>
      </c>
      <c r="L14" t="s">
        <v>15</v>
      </c>
      <c r="M14" t="s">
        <v>16</v>
      </c>
      <c r="N14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5"/>
  <sheetViews>
    <sheetView tabSelected="1" workbookViewId="0">
      <selection activeCell="H21" sqref="H21"/>
    </sheetView>
  </sheetViews>
  <sheetFormatPr baseColWidth="10" defaultRowHeight="16" x14ac:dyDescent="0.2"/>
  <cols>
    <col min="8" max="8" width="78.83203125" customWidth="1"/>
  </cols>
  <sheetData>
    <row r="1" spans="2:9" x14ac:dyDescent="0.2">
      <c r="B1" s="1" t="s">
        <v>39</v>
      </c>
      <c r="C1" s="1"/>
      <c r="D1" t="s">
        <v>31</v>
      </c>
      <c r="E1" t="s">
        <v>30</v>
      </c>
      <c r="F1" t="s">
        <v>29</v>
      </c>
      <c r="G1">
        <v>0</v>
      </c>
    </row>
    <row r="2" spans="2:9" x14ac:dyDescent="0.2">
      <c r="B2" s="1"/>
      <c r="C2" s="1"/>
      <c r="D2" t="s">
        <v>31</v>
      </c>
      <c r="E2" t="s">
        <v>30</v>
      </c>
      <c r="F2" t="s">
        <v>34</v>
      </c>
      <c r="G2">
        <v>0</v>
      </c>
    </row>
    <row r="3" spans="2:9" x14ac:dyDescent="0.2">
      <c r="B3" s="1"/>
      <c r="C3" s="1"/>
      <c r="D3" t="s">
        <v>31</v>
      </c>
      <c r="E3" t="s">
        <v>35</v>
      </c>
      <c r="F3" t="s">
        <v>29</v>
      </c>
      <c r="G3" s="2"/>
      <c r="H3" t="s">
        <v>43</v>
      </c>
      <c r="I3">
        <f>1*0.5*0.22*0.2*0.2*0.3*0.7</f>
        <v>9.2399999999999991E-4</v>
      </c>
    </row>
    <row r="4" spans="2:9" x14ac:dyDescent="0.2">
      <c r="B4" s="1"/>
      <c r="C4" s="1"/>
      <c r="D4" t="s">
        <v>31</v>
      </c>
      <c r="E4" t="s">
        <v>35</v>
      </c>
      <c r="F4" t="s">
        <v>34</v>
      </c>
      <c r="G4">
        <v>0</v>
      </c>
    </row>
    <row r="5" spans="2:9" x14ac:dyDescent="0.2">
      <c r="B5" s="1"/>
      <c r="C5" s="1"/>
      <c r="D5" t="s">
        <v>36</v>
      </c>
      <c r="E5" t="s">
        <v>30</v>
      </c>
      <c r="F5" t="s">
        <v>29</v>
      </c>
      <c r="G5">
        <v>0</v>
      </c>
    </row>
    <row r="6" spans="2:9" x14ac:dyDescent="0.2">
      <c r="B6" s="1"/>
      <c r="C6" s="1"/>
      <c r="D6" t="s">
        <v>36</v>
      </c>
      <c r="E6" t="s">
        <v>30</v>
      </c>
      <c r="F6" t="s">
        <v>34</v>
      </c>
      <c r="G6">
        <v>0</v>
      </c>
    </row>
    <row r="7" spans="2:9" x14ac:dyDescent="0.2">
      <c r="B7" s="1"/>
      <c r="C7" s="1"/>
      <c r="D7" t="s">
        <v>36</v>
      </c>
      <c r="E7" t="s">
        <v>35</v>
      </c>
      <c r="F7" t="s">
        <v>29</v>
      </c>
      <c r="G7">
        <v>0</v>
      </c>
    </row>
    <row r="8" spans="2:9" x14ac:dyDescent="0.2">
      <c r="B8" s="1"/>
      <c r="C8" s="1"/>
      <c r="D8" t="s">
        <v>36</v>
      </c>
      <c r="E8" t="s">
        <v>35</v>
      </c>
      <c r="F8" t="s">
        <v>34</v>
      </c>
      <c r="G8">
        <v>0</v>
      </c>
    </row>
    <row r="10" spans="2:9" x14ac:dyDescent="0.2">
      <c r="B10" s="1" t="s">
        <v>40</v>
      </c>
      <c r="C10" s="1"/>
      <c r="D10" t="s">
        <v>31</v>
      </c>
      <c r="E10" t="s">
        <v>30</v>
      </c>
      <c r="F10" t="s">
        <v>29</v>
      </c>
      <c r="G10" s="2"/>
      <c r="H10" t="s">
        <v>44</v>
      </c>
      <c r="I10">
        <f>1*0.5*1*0.2*0.2*0.3*0.3</f>
        <v>1.8000000000000002E-3</v>
      </c>
    </row>
    <row r="11" spans="2:9" x14ac:dyDescent="0.2">
      <c r="B11" s="1"/>
      <c r="C11" s="1"/>
      <c r="D11" t="s">
        <v>31</v>
      </c>
      <c r="E11" t="s">
        <v>30</v>
      </c>
      <c r="F11" t="s">
        <v>34</v>
      </c>
      <c r="G11">
        <v>0</v>
      </c>
    </row>
    <row r="12" spans="2:9" x14ac:dyDescent="0.2">
      <c r="B12" s="1"/>
      <c r="C12" s="1"/>
      <c r="D12" t="s">
        <v>31</v>
      </c>
      <c r="E12" t="s">
        <v>35</v>
      </c>
      <c r="F12" t="s">
        <v>29</v>
      </c>
      <c r="G12" s="2"/>
      <c r="H12" t="s">
        <v>47</v>
      </c>
      <c r="I12">
        <f>1*0.5*0.88*0.2*0.2*0.3*0.7</f>
        <v>3.6959999999999996E-3</v>
      </c>
    </row>
    <row r="13" spans="2:9" x14ac:dyDescent="0.2">
      <c r="B13" s="1"/>
      <c r="C13" s="1"/>
      <c r="D13" t="s">
        <v>31</v>
      </c>
      <c r="E13" t="s">
        <v>35</v>
      </c>
      <c r="F13" t="s">
        <v>34</v>
      </c>
      <c r="G13">
        <v>0</v>
      </c>
      <c r="H13" s="6" t="s">
        <v>58</v>
      </c>
      <c r="I13">
        <f>I3+I10+I12</f>
        <v>6.4199999999999995E-3</v>
      </c>
    </row>
    <row r="14" spans="2:9" x14ac:dyDescent="0.2">
      <c r="B14" s="1"/>
      <c r="C14" s="1"/>
      <c r="D14" t="s">
        <v>36</v>
      </c>
      <c r="E14" t="s">
        <v>30</v>
      </c>
      <c r="F14" t="s">
        <v>29</v>
      </c>
      <c r="G14">
        <v>0</v>
      </c>
    </row>
    <row r="15" spans="2:9" x14ac:dyDescent="0.2">
      <c r="B15" s="1"/>
      <c r="C15" s="1"/>
      <c r="D15" t="s">
        <v>36</v>
      </c>
      <c r="E15" t="s">
        <v>30</v>
      </c>
      <c r="F15" t="s">
        <v>34</v>
      </c>
      <c r="G15">
        <v>0</v>
      </c>
    </row>
    <row r="16" spans="2:9" x14ac:dyDescent="0.2">
      <c r="B16" s="1"/>
      <c r="C16" s="1"/>
      <c r="D16" t="s">
        <v>36</v>
      </c>
      <c r="E16" t="s">
        <v>35</v>
      </c>
      <c r="F16" t="s">
        <v>29</v>
      </c>
      <c r="G16">
        <v>0</v>
      </c>
    </row>
    <row r="17" spans="2:7" x14ac:dyDescent="0.2">
      <c r="B17" s="1"/>
      <c r="C17" s="1"/>
      <c r="D17" t="s">
        <v>36</v>
      </c>
      <c r="E17" t="s">
        <v>35</v>
      </c>
      <c r="F17" t="s">
        <v>34</v>
      </c>
      <c r="G17">
        <v>0</v>
      </c>
    </row>
    <row r="19" spans="2:7" x14ac:dyDescent="0.2">
      <c r="B19" s="1" t="s">
        <v>41</v>
      </c>
      <c r="C19" s="1"/>
      <c r="D19" t="s">
        <v>31</v>
      </c>
      <c r="E19" t="s">
        <v>30</v>
      </c>
      <c r="F19" t="s">
        <v>29</v>
      </c>
      <c r="G19">
        <v>0</v>
      </c>
    </row>
    <row r="20" spans="2:7" x14ac:dyDescent="0.2">
      <c r="B20" s="1"/>
      <c r="C20" s="1"/>
      <c r="D20" t="s">
        <v>31</v>
      </c>
      <c r="E20" t="s">
        <v>30</v>
      </c>
      <c r="F20" t="s">
        <v>34</v>
      </c>
      <c r="G20">
        <v>0</v>
      </c>
    </row>
    <row r="21" spans="2:7" x14ac:dyDescent="0.2">
      <c r="B21" s="1"/>
      <c r="C21" s="1"/>
      <c r="D21" t="s">
        <v>31</v>
      </c>
      <c r="E21" t="s">
        <v>35</v>
      </c>
      <c r="F21" t="s">
        <v>29</v>
      </c>
      <c r="G21">
        <v>0</v>
      </c>
    </row>
    <row r="22" spans="2:7" x14ac:dyDescent="0.2">
      <c r="B22" s="1"/>
      <c r="C22" s="1"/>
      <c r="D22" t="s">
        <v>31</v>
      </c>
      <c r="E22" t="s">
        <v>35</v>
      </c>
      <c r="F22" t="s">
        <v>34</v>
      </c>
      <c r="G22">
        <v>0</v>
      </c>
    </row>
    <row r="23" spans="2:7" x14ac:dyDescent="0.2">
      <c r="B23" s="1"/>
      <c r="C23" s="1"/>
      <c r="D23" t="s">
        <v>36</v>
      </c>
      <c r="E23" t="s">
        <v>30</v>
      </c>
      <c r="F23" t="s">
        <v>29</v>
      </c>
      <c r="G23">
        <v>0</v>
      </c>
    </row>
    <row r="24" spans="2:7" x14ac:dyDescent="0.2">
      <c r="B24" s="1"/>
      <c r="C24" s="1"/>
      <c r="D24" t="s">
        <v>36</v>
      </c>
      <c r="E24" t="s">
        <v>30</v>
      </c>
      <c r="F24" t="s">
        <v>34</v>
      </c>
      <c r="G24">
        <v>0</v>
      </c>
    </row>
    <row r="25" spans="2:7" x14ac:dyDescent="0.2">
      <c r="B25" s="1"/>
      <c r="C25" s="1"/>
      <c r="D25" t="s">
        <v>36</v>
      </c>
      <c r="E25" t="s">
        <v>35</v>
      </c>
      <c r="F25" t="s">
        <v>29</v>
      </c>
      <c r="G25">
        <v>0</v>
      </c>
    </row>
    <row r="26" spans="2:7" x14ac:dyDescent="0.2">
      <c r="B26" s="1"/>
      <c r="C26" s="1"/>
      <c r="D26" t="s">
        <v>36</v>
      </c>
      <c r="E26" t="s">
        <v>35</v>
      </c>
      <c r="F26" t="s">
        <v>34</v>
      </c>
      <c r="G26">
        <v>0</v>
      </c>
    </row>
    <row r="28" spans="2:7" x14ac:dyDescent="0.2">
      <c r="B28" s="1" t="s">
        <v>42</v>
      </c>
      <c r="C28" s="1"/>
      <c r="D28" t="s">
        <v>31</v>
      </c>
      <c r="E28" t="s">
        <v>30</v>
      </c>
      <c r="F28" t="s">
        <v>29</v>
      </c>
      <c r="G28">
        <v>0</v>
      </c>
    </row>
    <row r="29" spans="2:7" x14ac:dyDescent="0.2">
      <c r="B29" s="1"/>
      <c r="C29" s="1"/>
      <c r="D29" t="s">
        <v>31</v>
      </c>
      <c r="E29" t="s">
        <v>30</v>
      </c>
      <c r="F29" t="s">
        <v>34</v>
      </c>
      <c r="G29">
        <v>0</v>
      </c>
    </row>
    <row r="30" spans="2:7" x14ac:dyDescent="0.2">
      <c r="B30" s="1"/>
      <c r="C30" s="1"/>
      <c r="D30" t="s">
        <v>31</v>
      </c>
      <c r="E30" t="s">
        <v>35</v>
      </c>
      <c r="F30" t="s">
        <v>29</v>
      </c>
      <c r="G30">
        <v>0</v>
      </c>
    </row>
    <row r="31" spans="2:7" x14ac:dyDescent="0.2">
      <c r="B31" s="1"/>
      <c r="C31" s="1"/>
      <c r="D31" t="s">
        <v>31</v>
      </c>
      <c r="E31" t="s">
        <v>35</v>
      </c>
      <c r="F31" t="s">
        <v>34</v>
      </c>
      <c r="G31">
        <v>0</v>
      </c>
    </row>
    <row r="32" spans="2:7" x14ac:dyDescent="0.2">
      <c r="B32" s="1"/>
      <c r="C32" s="1"/>
      <c r="D32" t="s">
        <v>36</v>
      </c>
      <c r="E32" t="s">
        <v>30</v>
      </c>
      <c r="F32" t="s">
        <v>29</v>
      </c>
      <c r="G32">
        <v>0</v>
      </c>
    </row>
    <row r="33" spans="2:7" x14ac:dyDescent="0.2">
      <c r="B33" s="1"/>
      <c r="C33" s="1"/>
      <c r="D33" t="s">
        <v>36</v>
      </c>
      <c r="E33" t="s">
        <v>30</v>
      </c>
      <c r="F33" t="s">
        <v>34</v>
      </c>
      <c r="G33">
        <v>0</v>
      </c>
    </row>
    <row r="34" spans="2:7" x14ac:dyDescent="0.2">
      <c r="B34" s="1"/>
      <c r="C34" s="1"/>
      <c r="D34" t="s">
        <v>36</v>
      </c>
      <c r="E34" t="s">
        <v>35</v>
      </c>
      <c r="F34" t="s">
        <v>29</v>
      </c>
      <c r="G34">
        <v>0</v>
      </c>
    </row>
    <row r="35" spans="2:7" x14ac:dyDescent="0.2">
      <c r="B35" s="1"/>
      <c r="C35" s="1"/>
      <c r="D35" t="s">
        <v>36</v>
      </c>
      <c r="E35" t="s">
        <v>35</v>
      </c>
      <c r="F35" t="s">
        <v>34</v>
      </c>
      <c r="G35">
        <v>0</v>
      </c>
    </row>
  </sheetData>
  <mergeCells count="4">
    <mergeCell ref="B1:C8"/>
    <mergeCell ref="B10:C17"/>
    <mergeCell ref="B19:C26"/>
    <mergeCell ref="B28:C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selection activeCell="J2" sqref="J2"/>
    </sheetView>
  </sheetViews>
  <sheetFormatPr baseColWidth="10" defaultRowHeight="16" x14ac:dyDescent="0.2"/>
  <cols>
    <col min="6" max="6" width="54.6640625" customWidth="1"/>
  </cols>
  <sheetData>
    <row r="1" spans="1:9" x14ac:dyDescent="0.2">
      <c r="B1" s="3"/>
      <c r="C1" s="3"/>
      <c r="D1" s="3"/>
      <c r="G1" t="s">
        <v>45</v>
      </c>
      <c r="H1" t="s">
        <v>46</v>
      </c>
      <c r="I1" t="s">
        <v>55</v>
      </c>
    </row>
    <row r="2" spans="1:9" x14ac:dyDescent="0.2">
      <c r="B2" s="3"/>
      <c r="C2" s="3"/>
      <c r="D2" s="3"/>
      <c r="H2">
        <f>G11+G20</f>
        <v>0.13</v>
      </c>
      <c r="I2">
        <f>G11/H2</f>
        <v>0.29999999999999993</v>
      </c>
    </row>
    <row r="3" spans="1:9" x14ac:dyDescent="0.2">
      <c r="A3" s="1" t="s">
        <v>48</v>
      </c>
      <c r="B3" s="3" t="s">
        <v>32</v>
      </c>
      <c r="C3" s="3" t="s">
        <v>33</v>
      </c>
      <c r="D3" s="3" t="s">
        <v>29</v>
      </c>
      <c r="E3">
        <v>0</v>
      </c>
      <c r="G3" s="4"/>
    </row>
    <row r="4" spans="1:9" x14ac:dyDescent="0.2">
      <c r="A4" s="1"/>
      <c r="B4" s="3" t="s">
        <v>37</v>
      </c>
      <c r="C4" s="3" t="s">
        <v>33</v>
      </c>
      <c r="D4" t="s">
        <v>29</v>
      </c>
      <c r="E4">
        <v>0</v>
      </c>
    </row>
    <row r="5" spans="1:9" x14ac:dyDescent="0.2">
      <c r="A5" s="1"/>
      <c r="B5" s="3" t="s">
        <v>32</v>
      </c>
      <c r="C5" s="3" t="s">
        <v>38</v>
      </c>
      <c r="D5" t="s">
        <v>29</v>
      </c>
      <c r="E5" s="5"/>
      <c r="F5" t="s">
        <v>57</v>
      </c>
      <c r="G5">
        <f>1*1*0.2*0.3*0.3</f>
        <v>1.7999999999999999E-2</v>
      </c>
    </row>
    <row r="6" spans="1:9" x14ac:dyDescent="0.2">
      <c r="A6" s="1"/>
      <c r="B6" s="3" t="s">
        <v>32</v>
      </c>
      <c r="C6" s="3" t="s">
        <v>33</v>
      </c>
      <c r="D6" t="s">
        <v>34</v>
      </c>
      <c r="E6">
        <v>0</v>
      </c>
    </row>
    <row r="7" spans="1:9" x14ac:dyDescent="0.2">
      <c r="A7" s="1"/>
      <c r="B7" s="3" t="s">
        <v>37</v>
      </c>
      <c r="C7" s="3" t="s">
        <v>38</v>
      </c>
      <c r="D7" t="s">
        <v>29</v>
      </c>
      <c r="E7">
        <v>0</v>
      </c>
    </row>
    <row r="8" spans="1:9" x14ac:dyDescent="0.2">
      <c r="A8" s="1"/>
      <c r="B8" s="3" t="s">
        <v>37</v>
      </c>
      <c r="C8" s="3" t="s">
        <v>33</v>
      </c>
      <c r="D8" t="s">
        <v>34</v>
      </c>
      <c r="E8">
        <v>0</v>
      </c>
    </row>
    <row r="9" spans="1:9" x14ac:dyDescent="0.2">
      <c r="A9" s="1"/>
      <c r="B9" s="3" t="s">
        <v>32</v>
      </c>
      <c r="C9" s="3" t="s">
        <v>38</v>
      </c>
      <c r="D9" t="s">
        <v>34</v>
      </c>
      <c r="E9" s="2"/>
      <c r="F9" t="s">
        <v>52</v>
      </c>
      <c r="G9">
        <f>1*1*0.1*0.7*0.3</f>
        <v>2.0999999999999998E-2</v>
      </c>
    </row>
    <row r="10" spans="1:9" x14ac:dyDescent="0.2">
      <c r="A10" s="1"/>
      <c r="B10" s="3" t="s">
        <v>37</v>
      </c>
      <c r="C10" s="3" t="s">
        <v>38</v>
      </c>
      <c r="D10" t="s">
        <v>34</v>
      </c>
      <c r="E10">
        <v>0</v>
      </c>
    </row>
    <row r="11" spans="1:9" x14ac:dyDescent="0.2">
      <c r="G11" s="2">
        <f>G5+G9</f>
        <v>3.8999999999999993E-2</v>
      </c>
    </row>
    <row r="12" spans="1:9" x14ac:dyDescent="0.2">
      <c r="A12" s="3"/>
      <c r="B12" s="3"/>
      <c r="C12" s="3"/>
      <c r="D12" s="3"/>
      <c r="G12" t="s">
        <v>53</v>
      </c>
    </row>
    <row r="13" spans="1:9" x14ac:dyDescent="0.2">
      <c r="A13" s="1" t="s">
        <v>49</v>
      </c>
      <c r="B13" s="3" t="s">
        <v>32</v>
      </c>
      <c r="C13" s="3" t="s">
        <v>33</v>
      </c>
      <c r="D13" s="3" t="s">
        <v>29</v>
      </c>
      <c r="E13" s="2"/>
      <c r="F13" t="s">
        <v>56</v>
      </c>
      <c r="G13">
        <f>1*0.22*0.2*0.3*0.7</f>
        <v>9.2399999999999999E-3</v>
      </c>
    </row>
    <row r="14" spans="1:9" x14ac:dyDescent="0.2">
      <c r="A14" s="1"/>
      <c r="B14" s="3" t="s">
        <v>37</v>
      </c>
      <c r="C14" s="3" t="s">
        <v>33</v>
      </c>
      <c r="D14" t="s">
        <v>29</v>
      </c>
      <c r="E14">
        <v>0</v>
      </c>
    </row>
    <row r="15" spans="1:9" x14ac:dyDescent="0.2">
      <c r="A15" s="1"/>
      <c r="B15" s="3" t="s">
        <v>32</v>
      </c>
      <c r="C15" s="3" t="s">
        <v>38</v>
      </c>
      <c r="D15" t="s">
        <v>29</v>
      </c>
      <c r="E15" s="2"/>
      <c r="F15" t="s">
        <v>50</v>
      </c>
      <c r="G15">
        <f>1*0.78*0.2*0.3*0.7</f>
        <v>3.2760000000000004E-2</v>
      </c>
    </row>
    <row r="16" spans="1:9" x14ac:dyDescent="0.2">
      <c r="A16" s="1"/>
      <c r="B16" s="3" t="s">
        <v>32</v>
      </c>
      <c r="C16" s="3" t="s">
        <v>33</v>
      </c>
      <c r="D16" t="s">
        <v>34</v>
      </c>
      <c r="E16" s="2"/>
      <c r="F16" t="s">
        <v>51</v>
      </c>
      <c r="G16">
        <f>1*0.22*0.1*0.7*0.7</f>
        <v>1.078E-2</v>
      </c>
    </row>
    <row r="17" spans="1:7" x14ac:dyDescent="0.2">
      <c r="A17" s="1"/>
      <c r="B17" s="3" t="s">
        <v>37</v>
      </c>
      <c r="C17" s="3" t="s">
        <v>38</v>
      </c>
      <c r="D17" t="s">
        <v>29</v>
      </c>
      <c r="E17">
        <v>0</v>
      </c>
    </row>
    <row r="18" spans="1:7" x14ac:dyDescent="0.2">
      <c r="A18" s="1"/>
      <c r="B18" s="3" t="s">
        <v>37</v>
      </c>
      <c r="C18" s="3" t="s">
        <v>33</v>
      </c>
      <c r="D18" t="s">
        <v>34</v>
      </c>
      <c r="E18" s="4">
        <v>0</v>
      </c>
    </row>
    <row r="19" spans="1:7" x14ac:dyDescent="0.2">
      <c r="A19" s="1"/>
      <c r="B19" s="3" t="s">
        <v>32</v>
      </c>
      <c r="C19" s="3" t="s">
        <v>38</v>
      </c>
      <c r="D19" t="s">
        <v>34</v>
      </c>
      <c r="E19" s="2"/>
      <c r="F19" t="s">
        <v>54</v>
      </c>
      <c r="G19">
        <f>1*0.78*0.1*0.7*0.7</f>
        <v>3.8220000000000004E-2</v>
      </c>
    </row>
    <row r="20" spans="1:7" x14ac:dyDescent="0.2">
      <c r="A20" s="1"/>
      <c r="B20" s="3" t="s">
        <v>37</v>
      </c>
      <c r="C20" s="3" t="s">
        <v>38</v>
      </c>
      <c r="D20" t="s">
        <v>34</v>
      </c>
      <c r="E20">
        <v>0</v>
      </c>
      <c r="G20" s="2">
        <f>SUM(G13:G19)</f>
        <v>9.0999999999999998E-2</v>
      </c>
    </row>
  </sheetData>
  <mergeCells count="2">
    <mergeCell ref="A3:A10"/>
    <mergeCell ref="A13:A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2018-03-22T19:23:24Z</dcterms:created>
  <dcterms:modified xsi:type="dcterms:W3CDTF">2018-03-22T19:23:32Z</dcterms:modified>
</cp:coreProperties>
</file>